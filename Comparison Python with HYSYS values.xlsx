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ster stu\advan thermo\coding\"/>
    </mc:Choice>
  </mc:AlternateContent>
  <xr:revisionPtr revIDLastSave="0" documentId="13_ncr:1_{ED239586-E33E-46F9-BFA0-67590BBF733A}" xr6:coauthVersionLast="47" xr6:coauthVersionMax="47" xr10:uidLastSave="{00000000-0000-0000-0000-000000000000}"/>
  <bookViews>
    <workbookView xWindow="-108" yWindow="-108" windowWidth="23256" windowHeight="12576" xr2:uid="{D72DC4CA-87F8-4A04-B6A6-C147935DA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2" i="1" l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</calcChain>
</file>

<file path=xl/sharedStrings.xml><?xml version="1.0" encoding="utf-8"?>
<sst xmlns="http://schemas.openxmlformats.org/spreadsheetml/2006/main" count="61" uniqueCount="58">
  <si>
    <t>Nomenclature</t>
  </si>
  <si>
    <t>Beta</t>
  </si>
  <si>
    <t>Vapor Fraction</t>
  </si>
  <si>
    <t>Liquid mole fraction of component i</t>
  </si>
  <si>
    <t>Vapor mole fraction of component i</t>
  </si>
  <si>
    <t>Equilibrium ratio or K-value (yi/xi)</t>
  </si>
  <si>
    <t>Mixture compressibility factor</t>
  </si>
  <si>
    <t xml:space="preserve">Absolute Error </t>
  </si>
  <si>
    <t xml:space="preserve">Absolute Relative Error </t>
  </si>
  <si>
    <t>AE</t>
  </si>
  <si>
    <t>Henry’s law constant of component i (i = CO2, N2)</t>
  </si>
  <si>
    <t>Compressibility factor of pure component i (i = EtOH, H2O)</t>
  </si>
  <si>
    <t>Operating Conditions &amp; Feed Specifications</t>
  </si>
  <si>
    <t>Pressure</t>
  </si>
  <si>
    <t>Temperature</t>
  </si>
  <si>
    <t xml:space="preserve">Total mole fraction </t>
  </si>
  <si>
    <t>Vapor Phase Model</t>
  </si>
  <si>
    <t>Liquid Phase Model</t>
  </si>
  <si>
    <t>SRK Equation of State</t>
  </si>
  <si>
    <t>Extended NRTL Activity Coefficient Model</t>
  </si>
  <si>
    <t>z1 = 0.25    z2 = 0.05    z3 = 0.4     z4 = 0.3</t>
  </si>
  <si>
    <t>50°C</t>
  </si>
  <si>
    <t>50 bar</t>
  </si>
  <si>
    <r>
      <t>x</t>
    </r>
    <r>
      <rPr>
        <vertAlign val="subscript"/>
        <sz val="12"/>
        <color theme="1"/>
        <rFont val="Times New Roman"/>
        <family val="1"/>
      </rPr>
      <t>i</t>
    </r>
  </si>
  <si>
    <t>(1) : CO2      (2) : N2        (3) : EtOH         (4) : H2O</t>
  </si>
  <si>
    <t>Parameter</t>
  </si>
  <si>
    <t>Python value</t>
  </si>
  <si>
    <t>HYSYS value</t>
  </si>
  <si>
    <t>ARE (%)</t>
  </si>
  <si>
    <r>
      <t>y</t>
    </r>
    <r>
      <rPr>
        <vertAlign val="subscript"/>
        <sz val="12"/>
        <color theme="1"/>
        <rFont val="Times New Roman"/>
        <family val="1"/>
      </rPr>
      <t>i</t>
    </r>
  </si>
  <si>
    <r>
      <t>K</t>
    </r>
    <r>
      <rPr>
        <vertAlign val="subscript"/>
        <sz val="12"/>
        <color theme="1"/>
        <rFont val="Times New Roman"/>
        <family val="1"/>
      </rPr>
      <t>i</t>
    </r>
  </si>
  <si>
    <r>
      <t>Z</t>
    </r>
    <r>
      <rPr>
        <vertAlign val="subscript"/>
        <sz val="12"/>
        <color theme="1"/>
        <rFont val="Times New Roman"/>
        <family val="1"/>
      </rPr>
      <t>mix</t>
    </r>
  </si>
  <si>
    <r>
      <t>Z</t>
    </r>
    <r>
      <rPr>
        <vertAlign val="subscript"/>
        <sz val="12"/>
        <color theme="1"/>
        <rFont val="Times New Roman"/>
        <family val="1"/>
      </rPr>
      <t>pure_i</t>
    </r>
  </si>
  <si>
    <r>
      <t>H</t>
    </r>
    <r>
      <rPr>
        <vertAlign val="subscript"/>
        <sz val="12"/>
        <color theme="1"/>
        <rFont val="Times New Roman"/>
        <family val="1"/>
      </rPr>
      <t>i</t>
    </r>
  </si>
  <si>
    <r>
      <t>K</t>
    </r>
    <r>
      <rPr>
        <vertAlign val="sub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 xml:space="preserve"> </t>
    </r>
  </si>
  <si>
    <r>
      <t>K</t>
    </r>
    <r>
      <rPr>
        <vertAlign val="subscript"/>
        <sz val="14"/>
        <color theme="1"/>
        <rFont val="Times New Roman"/>
        <family val="1"/>
      </rPr>
      <t>2</t>
    </r>
  </si>
  <si>
    <r>
      <t>K</t>
    </r>
    <r>
      <rPr>
        <vertAlign val="subscript"/>
        <sz val="14"/>
        <color theme="1"/>
        <rFont val="Times New Roman"/>
        <family val="1"/>
      </rPr>
      <t>3</t>
    </r>
  </si>
  <si>
    <r>
      <t>K</t>
    </r>
    <r>
      <rPr>
        <vertAlign val="subscript"/>
        <sz val="14"/>
        <color theme="1"/>
        <rFont val="Times New Roman"/>
        <family val="1"/>
      </rPr>
      <t>4</t>
    </r>
  </si>
  <si>
    <r>
      <t>x</t>
    </r>
    <r>
      <rPr>
        <vertAlign val="subscript"/>
        <sz val="14"/>
        <color theme="1"/>
        <rFont val="Times New Roman"/>
        <family val="1"/>
      </rPr>
      <t>1</t>
    </r>
  </si>
  <si>
    <r>
      <t>x</t>
    </r>
    <r>
      <rPr>
        <vertAlign val="subscript"/>
        <sz val="14"/>
        <color theme="1"/>
        <rFont val="Times New Roman"/>
        <family val="1"/>
      </rPr>
      <t>2</t>
    </r>
  </si>
  <si>
    <r>
      <t>x</t>
    </r>
    <r>
      <rPr>
        <vertAlign val="subscript"/>
        <sz val="14"/>
        <color theme="1"/>
        <rFont val="Times New Roman"/>
        <family val="1"/>
      </rPr>
      <t>3</t>
    </r>
  </si>
  <si>
    <r>
      <t>x</t>
    </r>
    <r>
      <rPr>
        <vertAlign val="subscript"/>
        <sz val="14"/>
        <color theme="1"/>
        <rFont val="Times New Roman"/>
        <family val="1"/>
      </rPr>
      <t>4</t>
    </r>
  </si>
  <si>
    <r>
      <t>y</t>
    </r>
    <r>
      <rPr>
        <vertAlign val="subscript"/>
        <sz val="14"/>
        <color theme="1"/>
        <rFont val="Times New Roman"/>
        <family val="1"/>
      </rPr>
      <t>1</t>
    </r>
  </si>
  <si>
    <r>
      <t>y</t>
    </r>
    <r>
      <rPr>
        <vertAlign val="subscript"/>
        <sz val="14"/>
        <color theme="1"/>
        <rFont val="Times New Roman"/>
        <family val="1"/>
      </rPr>
      <t>2</t>
    </r>
  </si>
  <si>
    <r>
      <t>y</t>
    </r>
    <r>
      <rPr>
        <vertAlign val="subscript"/>
        <sz val="14"/>
        <color theme="1"/>
        <rFont val="Times New Roman"/>
        <family val="1"/>
      </rPr>
      <t>3</t>
    </r>
  </si>
  <si>
    <r>
      <t>y</t>
    </r>
    <r>
      <rPr>
        <vertAlign val="subscript"/>
        <sz val="14"/>
        <color theme="1"/>
        <rFont val="Times New Roman"/>
        <family val="1"/>
      </rPr>
      <t>4</t>
    </r>
  </si>
  <si>
    <r>
      <t>Z</t>
    </r>
    <r>
      <rPr>
        <vertAlign val="subscript"/>
        <sz val="14"/>
        <color theme="1"/>
        <rFont val="Times New Roman"/>
        <family val="1"/>
      </rPr>
      <t>mix</t>
    </r>
  </si>
  <si>
    <r>
      <t>Z</t>
    </r>
    <r>
      <rPr>
        <vertAlign val="subscript"/>
        <sz val="14"/>
        <color theme="1"/>
        <rFont val="Times New Roman"/>
        <family val="1"/>
      </rPr>
      <t>pure_3</t>
    </r>
  </si>
  <si>
    <r>
      <t>Z</t>
    </r>
    <r>
      <rPr>
        <vertAlign val="subscript"/>
        <sz val="14"/>
        <color theme="1"/>
        <rFont val="Times New Roman"/>
        <family val="1"/>
      </rPr>
      <t>pure_4</t>
    </r>
  </si>
  <si>
    <r>
      <t>H</t>
    </r>
    <r>
      <rPr>
        <vertAlign val="sub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 xml:space="preserve"> [kPa]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</si>
  <si>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 xml:space="preserve"> [kPa]</t>
    </r>
  </si>
  <si>
    <r>
      <t xml:space="preserve">AE = </t>
    </r>
    <r>
      <rPr>
        <sz val="18"/>
        <color theme="1"/>
        <rFont val="Times New Roman"/>
        <family val="1"/>
      </rPr>
      <t>|</t>
    </r>
    <r>
      <rPr>
        <sz val="15"/>
        <color theme="1"/>
        <rFont val="Times New Roman"/>
        <family val="1"/>
      </rPr>
      <t>Python Value - HYSYS Value</t>
    </r>
    <r>
      <rPr>
        <sz val="18"/>
        <color theme="1"/>
        <rFont val="Times New Roman"/>
        <family val="1"/>
      </rPr>
      <t>|</t>
    </r>
    <r>
      <rPr>
        <sz val="15"/>
        <color theme="1"/>
        <rFont val="Times New Roman"/>
        <family val="1"/>
      </rPr>
      <t xml:space="preserve"> </t>
    </r>
  </si>
  <si>
    <t xml:space="preserve">ARE = |Python Value - HYSYS Value| / |Python Value|  * 100 </t>
  </si>
  <si>
    <t>123191 (e5)</t>
  </si>
  <si>
    <t>11610414 (e7)</t>
  </si>
  <si>
    <t>150638 (e5)</t>
  </si>
  <si>
    <t>12311952 (e7)</t>
  </si>
  <si>
    <t>Danial Hamzeh-404662205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</si>
</sst>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404040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0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rgb="FFFFFFFF"/>
      <name val="Times New Roman"/>
      <family val="1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5"/>
      <color theme="1"/>
      <name val="Times New Roman"/>
      <family val="1"/>
    </font>
    <font>
      <sz val="18"/>
      <color theme="1"/>
      <name val="Times New Roman"/>
      <family val="1"/>
    </font>
    <font>
      <sz val="2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darkGrid">
        <fgColor theme="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0" fillId="0" borderId="0" xfId="0" applyFill="1"/>
    <xf numFmtId="0" fontId="1" fillId="0" borderId="0" xfId="0" applyFont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1" fontId="9" fillId="0" borderId="1" xfId="0" applyNumberFormat="1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E6E6E6"/>
      <color rgb="FFDCFFF1"/>
      <color rgb="FFF2FFF5"/>
      <color rgb="FFF2F7F5"/>
      <color rgb="FF1F497D"/>
      <color rgb="FFF7F7F7"/>
      <color rgb="FF36454B"/>
      <color rgb="FF595959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F7E1-65B9-46D0-AAE9-17A34F833FD9}">
  <dimension ref="B3:P24"/>
  <sheetViews>
    <sheetView tabSelected="1" topLeftCell="A4" zoomScale="70" zoomScaleNormal="70" workbookViewId="0">
      <selection activeCell="P9" sqref="P9"/>
    </sheetView>
  </sheetViews>
  <sheetFormatPr defaultRowHeight="14.4" x14ac:dyDescent="0.3"/>
  <cols>
    <col min="2" max="2" width="18.5546875" customWidth="1"/>
    <col min="3" max="3" width="56.109375" customWidth="1"/>
    <col min="6" max="6" width="16.109375" customWidth="1"/>
    <col min="7" max="7" width="18.5546875" customWidth="1"/>
    <col min="8" max="8" width="18.44140625" customWidth="1"/>
    <col min="9" max="9" width="11.5546875" customWidth="1"/>
    <col min="10" max="10" width="15.88671875" customWidth="1"/>
    <col min="11" max="11" width="8.88671875" customWidth="1"/>
    <col min="12" max="12" width="7.6640625" customWidth="1"/>
    <col min="16" max="16" width="43.77734375" customWidth="1"/>
  </cols>
  <sheetData>
    <row r="3" spans="2:16" ht="30.6" x14ac:dyDescent="0.55000000000000004">
      <c r="G3" s="28" t="s">
        <v>57</v>
      </c>
      <c r="H3" s="27"/>
      <c r="I3" s="27"/>
      <c r="J3" s="27"/>
    </row>
    <row r="4" spans="2:16" ht="23.4" customHeight="1" x14ac:dyDescent="0.3">
      <c r="B4" s="18" t="s">
        <v>24</v>
      </c>
      <c r="C4" s="19"/>
    </row>
    <row r="5" spans="2:16" ht="24.6" customHeight="1" x14ac:dyDescent="0.3"/>
    <row r="6" spans="2:16" ht="24.6" customHeight="1" x14ac:dyDescent="0.3">
      <c r="E6" s="1"/>
      <c r="F6" s="8" t="s">
        <v>25</v>
      </c>
      <c r="G6" s="8" t="s">
        <v>26</v>
      </c>
      <c r="H6" s="8" t="s">
        <v>27</v>
      </c>
      <c r="I6" s="8" t="s">
        <v>9</v>
      </c>
      <c r="J6" s="8" t="s">
        <v>28</v>
      </c>
    </row>
    <row r="7" spans="2:16" ht="23.4" customHeight="1" x14ac:dyDescent="0.3">
      <c r="B7" s="14" t="s">
        <v>0</v>
      </c>
      <c r="C7" s="15"/>
      <c r="F7" s="9" t="s">
        <v>1</v>
      </c>
      <c r="G7" s="10">
        <v>0.289822202326038</v>
      </c>
      <c r="H7" s="10">
        <v>0.28775574758855799</v>
      </c>
      <c r="I7" s="10">
        <f xml:space="preserve"> ABS(G7-H7)</f>
        <v>2.0664547374800168E-3</v>
      </c>
      <c r="J7" s="10">
        <f xml:space="preserve"> I7/H7 * 100</f>
        <v>0.71812804949936127</v>
      </c>
    </row>
    <row r="8" spans="2:16" ht="24" customHeight="1" x14ac:dyDescent="0.3">
      <c r="B8" s="4" t="s">
        <v>1</v>
      </c>
      <c r="C8" s="4" t="s">
        <v>2</v>
      </c>
      <c r="F8" s="9" t="s">
        <v>34</v>
      </c>
      <c r="G8" s="10">
        <v>39.843957147527199</v>
      </c>
      <c r="H8" s="10">
        <v>36.326819144244901</v>
      </c>
      <c r="I8" s="10">
        <f t="shared" ref="I8:I22" si="0" xml:space="preserve"> ABS(G8-H8)</f>
        <v>3.5171380032822981</v>
      </c>
      <c r="J8" s="10">
        <f t="shared" ref="J8:J22" si="1" xml:space="preserve"> I8/H8 * 100</f>
        <v>9.6819322091389406</v>
      </c>
    </row>
    <row r="9" spans="2:16" ht="24" customHeight="1" x14ac:dyDescent="0.3">
      <c r="B9" s="5" t="s">
        <v>23</v>
      </c>
      <c r="C9" s="5" t="s">
        <v>3</v>
      </c>
      <c r="F9" s="9" t="s">
        <v>35</v>
      </c>
      <c r="G9" s="10">
        <v>2440.7714439701299</v>
      </c>
      <c r="H9" s="10">
        <v>2481.8377856427201</v>
      </c>
      <c r="I9" s="10">
        <f t="shared" si="0"/>
        <v>41.06634167259017</v>
      </c>
      <c r="J9" s="10">
        <f t="shared" si="1"/>
        <v>1.6546746894642528</v>
      </c>
      <c r="K9" s="3"/>
    </row>
    <row r="10" spans="2:16" ht="25.8" customHeight="1" x14ac:dyDescent="0.3">
      <c r="B10" s="4" t="s">
        <v>29</v>
      </c>
      <c r="C10" s="4" t="s">
        <v>4</v>
      </c>
      <c r="F10" s="9" t="s">
        <v>36</v>
      </c>
      <c r="G10" s="10">
        <v>2.2435690853562999E-2</v>
      </c>
      <c r="H10" s="12">
        <v>1.79072824666026E-2</v>
      </c>
      <c r="I10" s="10">
        <f t="shared" si="0"/>
        <v>4.5284083869603989E-3</v>
      </c>
      <c r="J10" s="10">
        <f t="shared" si="1"/>
        <v>25.288082630102927</v>
      </c>
      <c r="K10" s="3"/>
    </row>
    <row r="11" spans="2:16" ht="25.8" customHeight="1" x14ac:dyDescent="0.3">
      <c r="B11" s="5" t="s">
        <v>30</v>
      </c>
      <c r="C11" s="5" t="s">
        <v>5</v>
      </c>
      <c r="F11" s="9" t="s">
        <v>37</v>
      </c>
      <c r="G11" s="10">
        <v>5.9553764249467697E-3</v>
      </c>
      <c r="H11" s="12">
        <v>7.2808751901349599E-3</v>
      </c>
      <c r="I11" s="10">
        <f t="shared" si="0"/>
        <v>1.3254987651881902E-3</v>
      </c>
      <c r="J11" s="10">
        <f t="shared" si="1"/>
        <v>18.205212018798807</v>
      </c>
    </row>
    <row r="12" spans="2:16" ht="22.8" customHeight="1" x14ac:dyDescent="0.3">
      <c r="B12" s="4" t="s">
        <v>31</v>
      </c>
      <c r="C12" s="4" t="s">
        <v>6</v>
      </c>
      <c r="F12" s="9" t="s">
        <v>38</v>
      </c>
      <c r="G12" s="10">
        <v>2.0395108385473499E-2</v>
      </c>
      <c r="H12" s="12">
        <v>2.2390408516612802E-2</v>
      </c>
      <c r="I12" s="10">
        <f t="shared" si="0"/>
        <v>1.9953001311393027E-3</v>
      </c>
      <c r="J12" s="10">
        <f t="shared" si="1"/>
        <v>8.9114056568412696</v>
      </c>
    </row>
    <row r="13" spans="2:16" ht="24" customHeight="1" x14ac:dyDescent="0.3">
      <c r="B13" s="5" t="s">
        <v>32</v>
      </c>
      <c r="C13" s="5" t="s">
        <v>11</v>
      </c>
      <c r="F13" s="9" t="s">
        <v>39</v>
      </c>
      <c r="G13" s="12">
        <v>7.0611502226351495E-5</v>
      </c>
      <c r="H13" s="12">
        <v>6.9942265156004198E-5</v>
      </c>
      <c r="I13" s="10">
        <f t="shared" si="0"/>
        <v>6.6923707034729737E-7</v>
      </c>
      <c r="J13" s="10">
        <f t="shared" si="1"/>
        <v>0.95684214523876732</v>
      </c>
      <c r="L13" s="20" t="s">
        <v>51</v>
      </c>
      <c r="M13" s="20"/>
      <c r="N13" s="20"/>
      <c r="O13" s="20"/>
      <c r="P13" s="20"/>
    </row>
    <row r="14" spans="2:16" ht="24.6" customHeight="1" x14ac:dyDescent="0.3">
      <c r="B14" s="4" t="s">
        <v>33</v>
      </c>
      <c r="C14" s="4" t="s">
        <v>10</v>
      </c>
      <c r="F14" s="9" t="s">
        <v>40</v>
      </c>
      <c r="G14" s="10">
        <v>0.55812902725498803</v>
      </c>
      <c r="H14" s="10">
        <v>0.55757119411260203</v>
      </c>
      <c r="I14" s="10">
        <f t="shared" si="0"/>
        <v>5.5783314238599946E-4</v>
      </c>
      <c r="J14" s="10">
        <f t="shared" si="1"/>
        <v>0.10004698023788951</v>
      </c>
    </row>
    <row r="15" spans="2:16" ht="24.6" customHeight="1" x14ac:dyDescent="0.3">
      <c r="B15" s="5" t="s">
        <v>9</v>
      </c>
      <c r="C15" s="5" t="s">
        <v>7</v>
      </c>
      <c r="E15" s="2"/>
      <c r="F15" s="9" t="s">
        <v>41</v>
      </c>
      <c r="G15" s="10">
        <v>0.42140525285731101</v>
      </c>
      <c r="H15" s="10">
        <v>0.41996845510562902</v>
      </c>
      <c r="I15" s="10">
        <f t="shared" si="0"/>
        <v>1.4367977516819841E-3</v>
      </c>
      <c r="J15" s="10">
        <f t="shared" si="1"/>
        <v>0.34212039838101788</v>
      </c>
      <c r="L15" s="21" t="s">
        <v>52</v>
      </c>
      <c r="M15" s="22"/>
      <c r="N15" s="22"/>
      <c r="O15" s="22"/>
      <c r="P15" s="23"/>
    </row>
    <row r="16" spans="2:16" ht="25.2" customHeight="1" x14ac:dyDescent="0.3">
      <c r="B16" s="4" t="s">
        <v>28</v>
      </c>
      <c r="C16" s="4" t="s">
        <v>8</v>
      </c>
      <c r="F16" s="9" t="s">
        <v>42</v>
      </c>
      <c r="G16" s="10">
        <v>0.812621824529979</v>
      </c>
      <c r="H16" s="10">
        <v>0.81337232074875399</v>
      </c>
      <c r="I16" s="10">
        <f t="shared" si="0"/>
        <v>7.5049621877498751E-4</v>
      </c>
      <c r="J16" s="10">
        <f t="shared" si="1"/>
        <v>9.2269702279039245E-2</v>
      </c>
      <c r="L16" s="24"/>
      <c r="M16" s="25"/>
      <c r="N16" s="25"/>
      <c r="O16" s="25"/>
      <c r="P16" s="26"/>
    </row>
    <row r="17" spans="2:10" ht="24" customHeight="1" x14ac:dyDescent="0.3">
      <c r="F17" s="9" t="s">
        <v>43</v>
      </c>
      <c r="G17" s="10">
        <v>0.172346538249912</v>
      </c>
      <c r="H17" s="10">
        <v>0.173585356477613</v>
      </c>
      <c r="I17" s="10">
        <f t="shared" si="0"/>
        <v>1.2388182277009996E-3</v>
      </c>
      <c r="J17" s="10">
        <f t="shared" si="1"/>
        <v>0.71366516902061827</v>
      </c>
    </row>
    <row r="18" spans="2:10" ht="24" customHeight="1" x14ac:dyDescent="0.3">
      <c r="F18" s="9" t="s">
        <v>44</v>
      </c>
      <c r="G18" s="10">
        <v>1.25220103118928E-2</v>
      </c>
      <c r="H18" s="12">
        <v>9.9845848682152995E-3</v>
      </c>
      <c r="I18" s="10">
        <f t="shared" si="0"/>
        <v>2.5374254436775004E-3</v>
      </c>
      <c r="J18" s="10">
        <f t="shared" si="1"/>
        <v>25.413429573372476</v>
      </c>
    </row>
    <row r="19" spans="2:10" ht="24.6" customHeight="1" x14ac:dyDescent="0.3">
      <c r="B19" s="16" t="s">
        <v>12</v>
      </c>
      <c r="C19" s="17"/>
      <c r="F19" s="9" t="s">
        <v>45</v>
      </c>
      <c r="G19" s="10">
        <v>2.5096269082151598E-3</v>
      </c>
      <c r="H19" s="12">
        <v>3.05773790541788E-3</v>
      </c>
      <c r="I19" s="10">
        <f t="shared" si="0"/>
        <v>5.4811099720272023E-4</v>
      </c>
      <c r="J19" s="10">
        <f t="shared" si="1"/>
        <v>17.925375364302639</v>
      </c>
    </row>
    <row r="20" spans="2:10" ht="25.2" customHeight="1" x14ac:dyDescent="0.3">
      <c r="B20" s="6" t="s">
        <v>14</v>
      </c>
      <c r="C20" s="6" t="s">
        <v>21</v>
      </c>
      <c r="F20" s="9" t="s">
        <v>46</v>
      </c>
      <c r="G20" s="10">
        <v>0.84473001587268204</v>
      </c>
      <c r="H20" s="10">
        <v>0.84155021553095</v>
      </c>
      <c r="I20" s="10">
        <f t="shared" si="0"/>
        <v>3.179800341732042E-3</v>
      </c>
      <c r="J20" s="10">
        <f t="shared" si="1"/>
        <v>0.37785033893976788</v>
      </c>
    </row>
    <row r="21" spans="2:10" ht="25.2" customHeight="1" x14ac:dyDescent="0.3">
      <c r="B21" s="7" t="s">
        <v>13</v>
      </c>
      <c r="C21" s="7" t="s">
        <v>22</v>
      </c>
      <c r="F21" s="9" t="s">
        <v>47</v>
      </c>
      <c r="G21" s="10">
        <v>0.99187661595239596</v>
      </c>
      <c r="H21" s="10">
        <v>0.991902419387929</v>
      </c>
      <c r="I21" s="10">
        <f t="shared" si="0"/>
        <v>2.5803435533044983E-5</v>
      </c>
      <c r="J21" s="10">
        <f t="shared" si="1"/>
        <v>2.6014086697124352E-3</v>
      </c>
    </row>
    <row r="22" spans="2:10" ht="25.8" customHeight="1" x14ac:dyDescent="0.3">
      <c r="B22" s="6" t="s">
        <v>15</v>
      </c>
      <c r="C22" s="6" t="s">
        <v>20</v>
      </c>
      <c r="F22" s="9" t="s">
        <v>48</v>
      </c>
      <c r="G22" s="10">
        <v>0.99849158845232999</v>
      </c>
      <c r="H22" s="10">
        <v>0.99849275442033003</v>
      </c>
      <c r="I22" s="10">
        <f t="shared" si="0"/>
        <v>1.165968000038653E-6</v>
      </c>
      <c r="J22" s="10">
        <f t="shared" si="1"/>
        <v>1.1677280529847709E-4</v>
      </c>
    </row>
    <row r="23" spans="2:10" ht="26.4" customHeight="1" x14ac:dyDescent="0.3">
      <c r="B23" s="7" t="s">
        <v>16</v>
      </c>
      <c r="C23" s="7" t="s">
        <v>18</v>
      </c>
      <c r="F23" s="9" t="s">
        <v>49</v>
      </c>
      <c r="G23" s="10" t="s">
        <v>55</v>
      </c>
      <c r="H23" s="10" t="s">
        <v>53</v>
      </c>
      <c r="I23" s="13"/>
      <c r="J23" s="13"/>
    </row>
    <row r="24" spans="2:10" ht="23.4" customHeight="1" x14ac:dyDescent="0.3">
      <c r="B24" s="6" t="s">
        <v>17</v>
      </c>
      <c r="C24" s="6" t="s">
        <v>19</v>
      </c>
      <c r="F24" s="9" t="s">
        <v>50</v>
      </c>
      <c r="G24" s="10" t="s">
        <v>56</v>
      </c>
      <c r="H24" s="11" t="s">
        <v>54</v>
      </c>
      <c r="I24" s="13"/>
      <c r="J24" s="13"/>
    </row>
  </sheetData>
  <mergeCells count="6">
    <mergeCell ref="G3:J3"/>
    <mergeCell ref="B7:C7"/>
    <mergeCell ref="B19:C19"/>
    <mergeCell ref="B4:C4"/>
    <mergeCell ref="L13:P13"/>
    <mergeCell ref="L15:P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2026-07-16T10:36:24Z</dcterms:created>
  <dcterms:modified xsi:type="dcterms:W3CDTF">2026-07-17T19:39:15Z</dcterms:modified>
</cp:coreProperties>
</file>